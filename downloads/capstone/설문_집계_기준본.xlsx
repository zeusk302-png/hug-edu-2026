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응답" sheetId="1" state="visible" r:id="rId1"/>
    <sheet xmlns:r="http://schemas.openxmlformats.org/officeDocument/2006/relationships" name="집계" sheetId="2" state="visible" r:id="rId2"/>
    <sheet xmlns:r="http://schemas.openxmlformats.org/officeDocument/2006/relationships" name="분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</font>
    <font>
      <color rgb="00555555"/>
      <sz val="9"/>
    </font>
    <font>
      <b val="1"/>
      <color rgb="001F3864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7C4D6"/>
      </left>
      <right style="thin">
        <color rgb="00B7C4D6"/>
      </right>
      <top style="thin">
        <color rgb="00B7C4D6"/>
      </top>
      <bottom style="thin">
        <color rgb="00B7C4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만족도 분포 (유효 응답 21건, 건수)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'분포'!B3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'분포'!$A$4:$A$8</f>
            </numRef>
          </cat>
          <val>
            <numRef>
              <f>'분포'!$B$4:$B$8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만족도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건수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2" customWidth="1" min="5" max="5"/>
  </cols>
  <sheetData>
    <row r="1">
      <c r="A1" s="1" t="inlineStr">
        <is>
          <t>응답ID</t>
        </is>
      </c>
      <c r="B1" s="1" t="inlineStr">
        <is>
          <t>조</t>
        </is>
      </c>
      <c r="C1" s="1" t="inlineStr">
        <is>
          <t>만족도</t>
        </is>
      </c>
      <c r="D1" s="1" t="inlineStr">
        <is>
          <t>선호시간</t>
        </is>
      </c>
      <c r="E1" s="1" t="inlineStr">
        <is>
          <t>처리</t>
        </is>
      </c>
      <c r="G1" s="2" t="inlineStr">
        <is>
          <t>처리 열은 수식입니다: 위쪽에 네 칸이 모두 같은 행이 있으면 완전 중복, 만족도가 비면 누락, 1~5 정수가 아니면 범위 오류, 나머지는 유효.</t>
        </is>
      </c>
    </row>
    <row r="2">
      <c r="A2" t="inlineStr">
        <is>
          <t>R01</t>
        </is>
      </c>
      <c r="B2" t="inlineStr">
        <is>
          <t>A</t>
        </is>
      </c>
      <c r="C2" t="n">
        <v>5</v>
      </c>
      <c r="D2" t="inlineStr">
        <is>
          <t>오후</t>
        </is>
      </c>
      <c r="E2">
        <f>IF(C2="","누락",IF(OR(C2&lt;1,C2&gt;5,C2&lt;&gt;INT(C2)),"범위 오류","유효"))</f>
        <v/>
      </c>
    </row>
    <row r="3">
      <c r="A3" t="inlineStr">
        <is>
          <t>R02</t>
        </is>
      </c>
      <c r="B3" t="inlineStr">
        <is>
          <t>B</t>
        </is>
      </c>
      <c r="C3" t="n">
        <v>4</v>
      </c>
      <c r="D3" t="inlineStr">
        <is>
          <t>오전</t>
        </is>
      </c>
      <c r="E3">
        <f>IF(COUNTIFS($A$2:A2,A3,$B$2:B2,B3,$C$2:C2,C3,$D$2:D2,D3)&gt;0,"완전 중복",IF(C3="","누락",IF(OR(C3&lt;1,C3&gt;5,C3&lt;&gt;INT(C3)),"범위 오류","유효")))</f>
        <v/>
      </c>
    </row>
    <row r="4">
      <c r="A4" t="inlineStr">
        <is>
          <t>R03</t>
        </is>
      </c>
      <c r="B4" t="inlineStr">
        <is>
          <t>C</t>
        </is>
      </c>
      <c r="C4" t="n">
        <v>4</v>
      </c>
      <c r="D4" t="inlineStr">
        <is>
          <t>오후</t>
        </is>
      </c>
      <c r="E4">
        <f>IF(COUNTIFS($A$2:A3,A4,$B$2:B3,B4,$C$2:C3,C4,$D$2:D3,D4)&gt;0,"완전 중복",IF(C4="","누락",IF(OR(C4&lt;1,C4&gt;5,C4&lt;&gt;INT(C4)),"범위 오류","유효")))</f>
        <v/>
      </c>
    </row>
    <row r="5">
      <c r="A5" t="inlineStr">
        <is>
          <t>R04</t>
        </is>
      </c>
      <c r="B5" t="inlineStr">
        <is>
          <t>A</t>
        </is>
      </c>
      <c r="C5" t="n">
        <v>3</v>
      </c>
      <c r="D5" t="inlineStr">
        <is>
          <t>오전</t>
        </is>
      </c>
      <c r="E5">
        <f>IF(COUNTIFS($A$2:A4,A5,$B$2:B4,B5,$C$2:C4,C5,$D$2:D4,D5)&gt;0,"완전 중복",IF(C5="","누락",IF(OR(C5&lt;1,C5&gt;5,C5&lt;&gt;INT(C5)),"범위 오류","유효")))</f>
        <v/>
      </c>
    </row>
    <row r="6">
      <c r="A6" t="inlineStr">
        <is>
          <t>R05</t>
        </is>
      </c>
      <c r="B6" t="inlineStr">
        <is>
          <t>B</t>
        </is>
      </c>
      <c r="C6" t="n">
        <v>5</v>
      </c>
      <c r="D6" t="inlineStr">
        <is>
          <t>오후</t>
        </is>
      </c>
      <c r="E6">
        <f>IF(COUNTIFS($A$2:A5,A6,$B$2:B5,B6,$C$2:C5,C6,$D$2:D5,D6)&gt;0,"완전 중복",IF(C6="","누락",IF(OR(C6&lt;1,C6&gt;5,C6&lt;&gt;INT(C6)),"범위 오류","유효")))</f>
        <v/>
      </c>
    </row>
    <row r="7">
      <c r="A7" t="inlineStr">
        <is>
          <t>R06</t>
        </is>
      </c>
      <c r="B7" t="inlineStr">
        <is>
          <t>C</t>
        </is>
      </c>
      <c r="C7" t="n">
        <v>2</v>
      </c>
      <c r="D7" t="inlineStr">
        <is>
          <t>오전</t>
        </is>
      </c>
      <c r="E7">
        <f>IF(COUNTIFS($A$2:A6,A7,$B$2:B6,B7,$C$2:C6,C7,$D$2:D6,D7)&gt;0,"완전 중복",IF(C7="","누락",IF(OR(C7&lt;1,C7&gt;5,C7&lt;&gt;INT(C7)),"범위 오류","유효")))</f>
        <v/>
      </c>
    </row>
    <row r="8">
      <c r="A8" t="inlineStr">
        <is>
          <t>R07</t>
        </is>
      </c>
      <c r="B8" t="inlineStr">
        <is>
          <t>A</t>
        </is>
      </c>
      <c r="C8" t="n">
        <v>4</v>
      </c>
      <c r="D8" t="inlineStr">
        <is>
          <t>오후</t>
        </is>
      </c>
      <c r="E8">
        <f>IF(COUNTIFS($A$2:A7,A8,$B$2:B7,B8,$C$2:C7,C8,$D$2:D7,D8)&gt;0,"완전 중복",IF(C8="","누락",IF(OR(C8&lt;1,C8&gt;5,C8&lt;&gt;INT(C8)),"범위 오류","유효")))</f>
        <v/>
      </c>
    </row>
    <row r="9">
      <c r="A9" t="inlineStr">
        <is>
          <t>R08</t>
        </is>
      </c>
      <c r="B9" t="inlineStr">
        <is>
          <t>B</t>
        </is>
      </c>
      <c r="C9" t="n">
        <v>5</v>
      </c>
      <c r="D9" t="inlineStr">
        <is>
          <t>오전</t>
        </is>
      </c>
      <c r="E9">
        <f>IF(COUNTIFS($A$2:A8,A9,$B$2:B8,B9,$C$2:C8,C9,$D$2:D8,D9)&gt;0,"완전 중복",IF(C9="","누락",IF(OR(C9&lt;1,C9&gt;5,C9&lt;&gt;INT(C9)),"범위 오류","유효")))</f>
        <v/>
      </c>
    </row>
    <row r="10">
      <c r="A10" t="inlineStr">
        <is>
          <t>R09</t>
        </is>
      </c>
      <c r="B10" t="inlineStr">
        <is>
          <t>C</t>
        </is>
      </c>
      <c r="C10" t="n">
        <v>3</v>
      </c>
      <c r="D10" t="inlineStr">
        <is>
          <t>오후</t>
        </is>
      </c>
      <c r="E10">
        <f>IF(COUNTIFS($A$2:A9,A10,$B$2:B9,B10,$C$2:C9,C10,$D$2:D9,D10)&gt;0,"완전 중복",IF(C10="","누락",IF(OR(C10&lt;1,C10&gt;5,C10&lt;&gt;INT(C10)),"범위 오류","유효")))</f>
        <v/>
      </c>
    </row>
    <row r="11">
      <c r="A11" t="inlineStr">
        <is>
          <t>R10</t>
        </is>
      </c>
      <c r="B11" t="inlineStr">
        <is>
          <t>A</t>
        </is>
      </c>
      <c r="C11" t="n">
        <v>4</v>
      </c>
      <c r="D11" t="inlineStr">
        <is>
          <t>오전</t>
        </is>
      </c>
      <c r="E11">
        <f>IF(COUNTIFS($A$2:A10,A11,$B$2:B10,B11,$C$2:C10,C11,$D$2:D10,D11)&gt;0,"완전 중복",IF(C11="","누락",IF(OR(C11&lt;1,C11&gt;5,C11&lt;&gt;INT(C11)),"범위 오류","유효")))</f>
        <v/>
      </c>
    </row>
    <row r="12">
      <c r="A12" t="inlineStr">
        <is>
          <t>R11</t>
        </is>
      </c>
      <c r="B12" t="inlineStr">
        <is>
          <t>B</t>
        </is>
      </c>
      <c r="C12" t="n">
        <v>5</v>
      </c>
      <c r="D12" t="inlineStr">
        <is>
          <t>오후</t>
        </is>
      </c>
      <c r="E12">
        <f>IF(COUNTIFS($A$2:A11,A12,$B$2:B11,B12,$C$2:C11,C12,$D$2:D11,D12)&gt;0,"완전 중복",IF(C12="","누락",IF(OR(C12&lt;1,C12&gt;5,C12&lt;&gt;INT(C12)),"범위 오류","유효")))</f>
        <v/>
      </c>
    </row>
    <row r="13">
      <c r="A13" t="inlineStr">
        <is>
          <t>R12</t>
        </is>
      </c>
      <c r="B13" t="inlineStr">
        <is>
          <t>C</t>
        </is>
      </c>
      <c r="C13" t="n">
        <v>4</v>
      </c>
      <c r="D13" t="inlineStr">
        <is>
          <t>오전</t>
        </is>
      </c>
      <c r="E13">
        <f>IF(COUNTIFS($A$2:A12,A13,$B$2:B12,B13,$C$2:C12,C13,$D$2:D12,D13)&gt;0,"완전 중복",IF(C13="","누락",IF(OR(C13&lt;1,C13&gt;5,C13&lt;&gt;INT(C13)),"범위 오류","유효")))</f>
        <v/>
      </c>
    </row>
    <row r="14">
      <c r="A14" t="inlineStr">
        <is>
          <t>R13</t>
        </is>
      </c>
      <c r="B14" t="inlineStr">
        <is>
          <t>A</t>
        </is>
      </c>
      <c r="C14" t="n">
        <v>2</v>
      </c>
      <c r="D14" t="inlineStr">
        <is>
          <t>오후</t>
        </is>
      </c>
      <c r="E14">
        <f>IF(COUNTIFS($A$2:A13,A14,$B$2:B13,B14,$C$2:C13,C14,$D$2:D13,D14)&gt;0,"완전 중복",IF(C14="","누락",IF(OR(C14&lt;1,C14&gt;5,C14&lt;&gt;INT(C14)),"범위 오류","유효")))</f>
        <v/>
      </c>
    </row>
    <row r="15">
      <c r="A15" t="inlineStr">
        <is>
          <t>R14</t>
        </is>
      </c>
      <c r="B15" t="inlineStr">
        <is>
          <t>B</t>
        </is>
      </c>
      <c r="C15" t="n">
        <v>3</v>
      </c>
      <c r="D15" t="inlineStr">
        <is>
          <t>오전</t>
        </is>
      </c>
      <c r="E15">
        <f>IF(COUNTIFS($A$2:A14,A15,$B$2:B14,B15,$C$2:C14,C15,$D$2:D14,D15)&gt;0,"완전 중복",IF(C15="","누락",IF(OR(C15&lt;1,C15&gt;5,C15&lt;&gt;INT(C15)),"범위 오류","유효")))</f>
        <v/>
      </c>
    </row>
    <row r="16">
      <c r="A16" t="inlineStr">
        <is>
          <t>R15</t>
        </is>
      </c>
      <c r="B16" t="inlineStr">
        <is>
          <t>C</t>
        </is>
      </c>
      <c r="C16" t="n">
        <v>5</v>
      </c>
      <c r="D16" t="inlineStr">
        <is>
          <t>오후</t>
        </is>
      </c>
      <c r="E16">
        <f>IF(COUNTIFS($A$2:A15,A16,$B$2:B15,B16,$C$2:C15,C16,$D$2:D15,D16)&gt;0,"완전 중복",IF(C16="","누락",IF(OR(C16&lt;1,C16&gt;5,C16&lt;&gt;INT(C16)),"범위 오류","유효")))</f>
        <v/>
      </c>
    </row>
    <row r="17">
      <c r="A17" t="inlineStr">
        <is>
          <t>R16</t>
        </is>
      </c>
      <c r="B17" t="inlineStr">
        <is>
          <t>A</t>
        </is>
      </c>
      <c r="C17" t="n">
        <v>4</v>
      </c>
      <c r="D17" t="inlineStr">
        <is>
          <t>오전</t>
        </is>
      </c>
      <c r="E17">
        <f>IF(COUNTIFS($A$2:A16,A17,$B$2:B16,B17,$C$2:C16,C17,$D$2:D16,D17)&gt;0,"완전 중복",IF(C17="","누락",IF(OR(C17&lt;1,C17&gt;5,C17&lt;&gt;INT(C17)),"범위 오류","유효")))</f>
        <v/>
      </c>
    </row>
    <row r="18">
      <c r="A18" t="inlineStr">
        <is>
          <t>R17</t>
        </is>
      </c>
      <c r="B18" t="inlineStr">
        <is>
          <t>B</t>
        </is>
      </c>
      <c r="C18" t="n">
        <v>4</v>
      </c>
      <c r="D18" t="inlineStr">
        <is>
          <t>오후</t>
        </is>
      </c>
      <c r="E18">
        <f>IF(COUNTIFS($A$2:A17,A18,$B$2:B17,B18,$C$2:C17,C18,$D$2:D17,D18)&gt;0,"완전 중복",IF(C18="","누락",IF(OR(C18&lt;1,C18&gt;5,C18&lt;&gt;INT(C18)),"범위 오류","유효")))</f>
        <v/>
      </c>
    </row>
    <row r="19">
      <c r="A19" t="inlineStr">
        <is>
          <t>R18</t>
        </is>
      </c>
      <c r="B19" t="inlineStr">
        <is>
          <t>C</t>
        </is>
      </c>
      <c r="C19" t="n">
        <v>3</v>
      </c>
      <c r="D19" t="inlineStr">
        <is>
          <t>오전</t>
        </is>
      </c>
      <c r="E19">
        <f>IF(COUNTIFS($A$2:A18,A19,$B$2:B18,B19,$C$2:C18,C19,$D$2:D18,D19)&gt;0,"완전 중복",IF(C19="","누락",IF(OR(C19&lt;1,C19&gt;5,C19&lt;&gt;INT(C19)),"범위 오류","유효")))</f>
        <v/>
      </c>
    </row>
    <row r="20">
      <c r="A20" t="inlineStr">
        <is>
          <t>R19</t>
        </is>
      </c>
      <c r="B20" t="inlineStr">
        <is>
          <t>A</t>
        </is>
      </c>
      <c r="C20" t="n">
        <v>5</v>
      </c>
      <c r="D20" t="inlineStr">
        <is>
          <t>오후</t>
        </is>
      </c>
      <c r="E20">
        <f>IF(COUNTIFS($A$2:A19,A20,$B$2:B19,B20,$C$2:C19,C20,$D$2:D19,D20)&gt;0,"완전 중복",IF(C20="","누락",IF(OR(C20&lt;1,C20&gt;5,C20&lt;&gt;INT(C20)),"범위 오류","유효")))</f>
        <v/>
      </c>
    </row>
    <row r="21">
      <c r="A21" t="inlineStr">
        <is>
          <t>R20</t>
        </is>
      </c>
      <c r="B21" t="inlineStr">
        <is>
          <t>B</t>
        </is>
      </c>
      <c r="C21" t="n">
        <v>4</v>
      </c>
      <c r="D21" t="inlineStr">
        <is>
          <t>오전</t>
        </is>
      </c>
      <c r="E21">
        <f>IF(COUNTIFS($A$2:A20,A21,$B$2:B20,B21,$C$2:C20,C21,$D$2:D20,D21)&gt;0,"완전 중복",IF(C21="","누락",IF(OR(C21&lt;1,C21&gt;5,C21&lt;&gt;INT(C21)),"범위 오류","유효")))</f>
        <v/>
      </c>
    </row>
    <row r="22">
      <c r="A22" t="inlineStr">
        <is>
          <t>R21</t>
        </is>
      </c>
      <c r="B22" t="inlineStr">
        <is>
          <t>A</t>
        </is>
      </c>
      <c r="D22" t="inlineStr">
        <is>
          <t>오전</t>
        </is>
      </c>
      <c r="E22">
        <f>IF(COUNTIFS($A$2:A21,A22,$B$2:B21,B22,$C$2:C21,C22,$D$2:D21,D22)&gt;0,"완전 중복",IF(C22="","누락",IF(OR(C22&lt;1,C22&gt;5,C22&lt;&gt;INT(C22)),"범위 오류","유효")))</f>
        <v/>
      </c>
    </row>
    <row r="23">
      <c r="A23" t="inlineStr">
        <is>
          <t>R22</t>
        </is>
      </c>
      <c r="B23" t="inlineStr">
        <is>
          <t>B</t>
        </is>
      </c>
      <c r="C23" t="n">
        <v>6</v>
      </c>
      <c r="D23" t="inlineStr">
        <is>
          <t>오후</t>
        </is>
      </c>
      <c r="E23">
        <f>IF(COUNTIFS($A$2:A22,A23,$B$2:B22,B23,$C$2:C22,C23,$D$2:D22,D23)&gt;0,"완전 중복",IF(C23="","누락",IF(OR(C23&lt;1,C23&gt;5,C23&lt;&gt;INT(C23)),"범위 오류","유효")))</f>
        <v/>
      </c>
    </row>
    <row r="24">
      <c r="A24" t="inlineStr">
        <is>
          <t>R23</t>
        </is>
      </c>
      <c r="B24" t="inlineStr">
        <is>
          <t>C</t>
        </is>
      </c>
      <c r="C24" t="n">
        <v>5</v>
      </c>
      <c r="D24" t="inlineStr">
        <is>
          <t>오전</t>
        </is>
      </c>
      <c r="E24">
        <f>IF(COUNTIFS($A$2:A23,A24,$B$2:B23,B24,$C$2:C23,C24,$D$2:D23,D24)&gt;0,"완전 중복",IF(C24="","누락",IF(OR(C24&lt;1,C24&gt;5,C24&lt;&gt;INT(C24)),"범위 오류","유효")))</f>
        <v/>
      </c>
    </row>
    <row r="25">
      <c r="A25" t="inlineStr">
        <is>
          <t>R05</t>
        </is>
      </c>
      <c r="B25" t="inlineStr">
        <is>
          <t>B</t>
        </is>
      </c>
      <c r="C25" t="n">
        <v>5</v>
      </c>
      <c r="D25" t="inlineStr">
        <is>
          <t>오후</t>
        </is>
      </c>
      <c r="E25">
        <f>IF(COUNTIFS($A$2:A24,A25,$B$2:B24,B25,$C$2:C24,C25,$D$2:D24,D25)&gt;0,"완전 중복",IF(C25="","누락",IF(OR(C25&lt;1,C25&gt;5,C25&lt;&gt;INT(C25)),"범위 오류","유효")))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3" max="3"/>
  </cols>
  <sheetData>
    <row r="1">
      <c r="A1" s="3" t="inlineStr">
        <is>
          <t>설문 집계 (교육용 가상 자료 · 07B 05단계 기준본)</t>
        </is>
      </c>
    </row>
    <row r="2">
      <c r="A2" s="2" t="inlineStr">
        <is>
          <t>모든 값은 응답 시트를 참조하는 수식입니다. 평균·분포·비율의 분모는 유효 만족도 응답(B9)입니다.</t>
        </is>
      </c>
    </row>
    <row r="3">
      <c r="A3" s="1" t="inlineStr">
        <is>
          <t>항목</t>
        </is>
      </c>
      <c r="B3" s="1" t="inlineStr">
        <is>
          <t>값</t>
        </is>
      </c>
      <c r="C3" s="1" t="inlineStr">
        <is>
          <t>설명</t>
        </is>
      </c>
    </row>
    <row r="4">
      <c r="A4" s="4" t="inlineStr">
        <is>
          <t>전체 행</t>
        </is>
      </c>
      <c r="B4" s="4">
        <f>COUNTA(응답!A2:A25)</f>
        <v/>
      </c>
      <c r="C4" s="4" t="inlineStr">
        <is>
          <t>머리글 제외</t>
        </is>
      </c>
    </row>
    <row r="5">
      <c r="A5" s="4" t="inlineStr">
        <is>
          <t>완전 중복 행</t>
        </is>
      </c>
      <c r="B5" s="4">
        <f>COUNTIF(응답!E2:E25,"완전 중복")</f>
        <v/>
      </c>
      <c r="C5" s="4" t="inlineStr">
        <is>
          <t>R05가 그대로 한 번 더</t>
        </is>
      </c>
    </row>
    <row r="6">
      <c r="A6" s="4" t="inlineStr">
        <is>
          <t>중복 제거 후</t>
        </is>
      </c>
      <c r="B6" s="4">
        <f>B4-B5</f>
        <v/>
      </c>
      <c r="C6" s="4" t="inlineStr">
        <is>
          <t>서로 다른 응답</t>
        </is>
      </c>
    </row>
    <row r="7">
      <c r="A7" s="4" t="inlineStr">
        <is>
          <t>누락</t>
        </is>
      </c>
      <c r="B7" s="4">
        <f>COUNTIF(응답!E2:E25,"누락")</f>
        <v/>
      </c>
      <c r="C7" s="4" t="inlineStr">
        <is>
          <t>R21 만족도 빈칸</t>
        </is>
      </c>
    </row>
    <row r="8">
      <c r="A8" s="4" t="inlineStr">
        <is>
          <t>범위 오류</t>
        </is>
      </c>
      <c r="B8" s="4">
        <f>COUNTIF(응답!E2:E25,"범위 오류")</f>
        <v/>
      </c>
      <c r="C8" s="4" t="inlineStr">
        <is>
          <t>R22 만족도 6</t>
        </is>
      </c>
    </row>
    <row r="9">
      <c r="A9" s="4" t="inlineStr">
        <is>
          <t>유효 만족도 응답(분모)</t>
        </is>
      </c>
      <c r="B9" s="4">
        <f>COUNTIF(응답!E2:E25,"유효")</f>
        <v/>
      </c>
      <c r="C9" s="4" t="inlineStr">
        <is>
          <t>평균·분포·비율의 분모</t>
        </is>
      </c>
    </row>
    <row r="10">
      <c r="A10" s="4" t="inlineStr">
        <is>
          <t>만족도 합</t>
        </is>
      </c>
      <c r="B10" s="4">
        <f>SUMIF(응답!E2:E25,"유효",응답!C2:C25)</f>
        <v/>
      </c>
      <c r="C10" s="4" t="inlineStr"/>
    </row>
    <row r="11">
      <c r="A11" s="4" t="inlineStr">
        <is>
          <t>평균</t>
        </is>
      </c>
      <c r="B11" s="4">
        <f>ROUND(B10/B9,2)</f>
        <v/>
      </c>
      <c r="C11" s="4" t="inlineStr">
        <is>
          <t>소수 둘째 자리 · 분모 B9</t>
        </is>
      </c>
    </row>
    <row r="12">
      <c r="A12" s="4" t="inlineStr">
        <is>
          <t>4~5점 건수</t>
        </is>
      </c>
      <c r="B12" s="4">
        <f>COUNTIFS(응답!E2:E25,"유효",응답!C2:C25,"&gt;=4")</f>
        <v/>
      </c>
      <c r="C12" s="4" t="inlineStr"/>
    </row>
    <row r="13">
      <c r="A13" s="4" t="inlineStr">
        <is>
          <t>4~5점 비율(%)</t>
        </is>
      </c>
      <c r="B13" s="4">
        <f>ROUND(B12/B9*100,1)</f>
        <v/>
      </c>
      <c r="C13" s="4" t="inlineStr">
        <is>
          <t>소수 첫째 자리 · 분모 B9</t>
        </is>
      </c>
    </row>
    <row r="15">
      <c r="A15" s="2" t="inlineStr">
        <is>
          <t>처리 현황(전체 24 → 제외 3 → 유효 21)과 유효 응답만의 분포는 다른 표입니다. 분모를 바꾸면(23·24) 비율이 달라집니다 — 04단계.</t>
        </is>
      </c>
    </row>
    <row r="16">
      <c r="A16" s="2" t="inlineStr">
        <is>
          <t>데이터 고지 — 교육용 가상 설문 24행이며 전체 참여자를 대표하지 않습니다.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만족도 분포 (유효 응답 기준)</t>
        </is>
      </c>
    </row>
    <row r="2">
      <c r="A2" s="2" t="inlineStr">
        <is>
          <t>건수는 응답 시트에서 유효 행만 센 수식, 비율은 건수 ÷ 집계!B9. 비율 합은 반올림 때문에 100.0이 아닐 수 있습니다.</t>
        </is>
      </c>
    </row>
    <row r="3">
      <c r="A3" s="1" t="inlineStr">
        <is>
          <t>점수</t>
        </is>
      </c>
      <c r="B3" s="1" t="inlineStr">
        <is>
          <t>건수</t>
        </is>
      </c>
      <c r="C3" s="1" t="inlineStr">
        <is>
          <t>비율(%)</t>
        </is>
      </c>
    </row>
    <row r="4">
      <c r="A4" s="4" t="inlineStr">
        <is>
          <t>1점</t>
        </is>
      </c>
      <c r="B4" s="4">
        <f>COUNTIFS(응답!E2:E25,"유효",응답!C2:C25,1)</f>
        <v/>
      </c>
      <c r="C4" s="4">
        <f>ROUND(B4/집계!B9*100,1)</f>
        <v/>
      </c>
    </row>
    <row r="5">
      <c r="A5" s="4" t="inlineStr">
        <is>
          <t>2점</t>
        </is>
      </c>
      <c r="B5" s="4">
        <f>COUNTIFS(응답!E2:E25,"유효",응답!C2:C25,2)</f>
        <v/>
      </c>
      <c r="C5" s="4">
        <f>ROUND(B5/집계!B9*100,1)</f>
        <v/>
      </c>
    </row>
    <row r="6">
      <c r="A6" s="4" t="inlineStr">
        <is>
          <t>3점</t>
        </is>
      </c>
      <c r="B6" s="4">
        <f>COUNTIFS(응답!E2:E25,"유효",응답!C2:C25,3)</f>
        <v/>
      </c>
      <c r="C6" s="4">
        <f>ROUND(B6/집계!B9*100,1)</f>
        <v/>
      </c>
    </row>
    <row r="7">
      <c r="A7" s="4" t="inlineStr">
        <is>
          <t>4점</t>
        </is>
      </c>
      <c r="B7" s="4">
        <f>COUNTIFS(응답!E2:E25,"유효",응답!C2:C25,4)</f>
        <v/>
      </c>
      <c r="C7" s="4">
        <f>ROUND(B7/집계!B9*100,1)</f>
        <v/>
      </c>
    </row>
    <row r="8">
      <c r="A8" s="4" t="inlineStr">
        <is>
          <t>5점</t>
        </is>
      </c>
      <c r="B8" s="4">
        <f>COUNTIFS(응답!E2:E25,"유효",응답!C2:C25,5)</f>
        <v/>
      </c>
      <c r="C8" s="4">
        <f>ROUND(B8/집계!B9*100,1)</f>
        <v/>
      </c>
    </row>
    <row r="9">
      <c r="A9" t="inlineStr">
        <is>
          <t>합계</t>
        </is>
      </c>
      <c r="B9">
        <f>SUM(B4:B8)</f>
        <v/>
      </c>
      <c r="C9">
        <f>SUM(C4:C8)</f>
        <v/>
      </c>
    </row>
    <row r="11">
      <c r="A11" s="2" t="inlineStr">
        <is>
          <t>차트 원본 범위: 분포!A4:A8(점수) · 분포!B4:B8(건수). 제목에 분모(유효 응답 21건)를 적습니다.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2026-09-16T16:38:47Z</dcterms:created>
  <dcterms:modified xmlns:dcterms="http://purl.org/dc/terms/" xmlns:xsi="http://www.w3.org/2001/XMLSchema-instance" xsi:type="dcterms:W3CDTF">2026-09-16T16:38:47Z</dcterms:modified>
</cp:coreProperties>
</file>